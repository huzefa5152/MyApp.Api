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 2026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##%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</font>
    <font>
      <b val="1"/>
      <color rgb="00FFFFFF"/>
      <sz val="10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164" fontId="0" fillId="4" borderId="1" pivotButton="0" quotePrefix="0" xfId="0"/>
    <xf numFmtId="4" fontId="0" fillId="4" borderId="1" pivotButton="0" quotePrefix="0" xfId="0"/>
    <xf numFmtId="9" fontId="0" fillId="4" borderId="1" pivotButton="0" quotePrefix="0" xfId="0"/>
    <xf numFmtId="0" fontId="3" fillId="0" borderId="0" pivotButton="0" quotePrefix="0" xfId="0"/>
    <xf numFmtId="164" fontId="3" fillId="0" borderId="0" pivotButton="0" quotePrefix="0" xfId="0"/>
    <xf numFmtId="4" fontId="3" fillId="0" borderId="0" pivotButton="0" quotePrefix="0" xfId="0"/>
    <xf numFmtId="0" fontId="5" fillId="0" borderId="0" pivotButton="0" quotePrefix="0" xfId="0"/>
    <xf numFmtId="165" fontId="0" fillId="0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5" customWidth="1" min="4" max="4"/>
    <col width="16" customWidth="1" min="5" max="5"/>
    <col width="38" customWidth="1" min="6" max="6"/>
    <col width="20" customWidth="1" min="7" max="7"/>
    <col width="14" customWidth="1" min="8" max="8"/>
    <col width="8" customWidth="1" min="9" max="9"/>
    <col width="12" customWidth="1" min="10" max="10"/>
    <col width="15" customWidth="1" min="11" max="11"/>
    <col width="9" customWidth="1" min="12" max="12"/>
    <col width="14" customWidth="1" min="13" max="13"/>
    <col width="12" customWidth="1" min="14" max="14"/>
    <col width="15" customWidth="1" min="15" max="15"/>
    <col width="9" customWidth="1" min="16" max="16"/>
    <col width="14" customWidth="1" min="17" max="17"/>
    <col width="12" customWidth="1" min="18" max="18"/>
    <col width="15" customWidth="1" min="19" max="19"/>
    <col width="9" customWidth="1" min="20" max="20"/>
    <col width="14" customWidth="1" min="21" max="21"/>
    <col width="13" customWidth="1" min="23" max="23"/>
    <col width="13" customWidth="1" min="24" max="24"/>
    <col width="13" customWidth="1" min="25" max="25"/>
    <col width="13" customWidth="1" min="27" max="27"/>
    <col width="13" customWidth="1" min="28" max="28"/>
    <col width="13" customWidth="1" min="29" max="29"/>
    <col width="13" customWidth="1" min="31" max="31"/>
    <col width="13" customWidth="1" min="32" max="32"/>
    <col width="13" customWidth="1" min="33" max="33"/>
  </cols>
  <sheetData>
    <row r="1">
      <c r="F1" s="1" t="inlineStr">
        <is>
          <t>Opening Stock</t>
        </is>
      </c>
      <c r="W1" s="2" t="inlineStr">
        <is>
          <t>Cost of Good Sold</t>
        </is>
      </c>
    </row>
    <row r="2">
      <c r="J2" s="3" t="inlineStr">
        <is>
          <t>Opening</t>
        </is>
      </c>
      <c r="N2" s="3" t="inlineStr">
        <is>
          <t>Consumed</t>
        </is>
      </c>
      <c r="R2" s="3" t="inlineStr">
        <is>
          <t>Balance</t>
        </is>
      </c>
      <c r="W2" s="3" t="inlineStr">
        <is>
          <t>Opening</t>
        </is>
      </c>
      <c r="AA2" s="3" t="inlineStr">
        <is>
          <t>Consumed</t>
        </is>
      </c>
      <c r="AE2" s="3" t="inlineStr">
        <is>
          <t>Balance</t>
        </is>
      </c>
    </row>
    <row r="3" ht="30" customHeight="1">
      <c r="A3" s="4" t="inlineStr">
        <is>
          <t>Claim Month</t>
        </is>
      </c>
      <c r="B3" s="4" t="inlineStr">
        <is>
          <t>GD Number</t>
        </is>
      </c>
      <c r="C3" s="4" t="inlineStr">
        <is>
          <t>GD Date</t>
        </is>
      </c>
      <c r="D3" s="4" t="inlineStr">
        <is>
          <t>4 Digit Hs Code</t>
        </is>
      </c>
      <c r="E3" s="4" t="inlineStr">
        <is>
          <t>8 Digit Hs Code</t>
        </is>
      </c>
      <c r="F3" s="4" t="inlineStr">
        <is>
          <t>Description</t>
        </is>
      </c>
      <c r="G3" s="4" t="inlineStr">
        <is>
          <t>Sub Category</t>
        </is>
      </c>
      <c r="H3" s="4" t="inlineStr">
        <is>
          <t>Price</t>
        </is>
      </c>
      <c r="I3" s="4" t="inlineStr">
        <is>
          <t>Unit</t>
        </is>
      </c>
      <c r="J3" s="4" t="inlineStr">
        <is>
          <t>Qty</t>
        </is>
      </c>
      <c r="K3" s="4" t="inlineStr">
        <is>
          <t>Exl</t>
        </is>
      </c>
      <c r="L3" s="4" t="inlineStr">
        <is>
          <t>Rate</t>
        </is>
      </c>
      <c r="M3" s="4" t="inlineStr">
        <is>
          <t>S.Tax</t>
        </is>
      </c>
      <c r="N3" s="4" t="inlineStr">
        <is>
          <t>Qty</t>
        </is>
      </c>
      <c r="O3" s="4" t="inlineStr">
        <is>
          <t>Consumed Exl</t>
        </is>
      </c>
      <c r="P3" s="4" t="inlineStr">
        <is>
          <t>Rate</t>
        </is>
      </c>
      <c r="Q3" s="4" t="inlineStr">
        <is>
          <t>S.Tax</t>
        </is>
      </c>
      <c r="R3" s="4" t="inlineStr">
        <is>
          <t>Bal Qty</t>
        </is>
      </c>
      <c r="S3" s="4" t="inlineStr">
        <is>
          <t>Bal Exl</t>
        </is>
      </c>
      <c r="T3" s="4" t="inlineStr">
        <is>
          <t>Rate</t>
        </is>
      </c>
      <c r="U3" s="4" t="inlineStr">
        <is>
          <t>S.Tax</t>
        </is>
      </c>
      <c r="W3" s="5" t="inlineStr">
        <is>
          <t>Excl</t>
        </is>
      </c>
      <c r="X3" s="5" t="inlineStr">
        <is>
          <t>S.Tax</t>
        </is>
      </c>
      <c r="Y3" s="5" t="inlineStr">
        <is>
          <t>Vat</t>
        </is>
      </c>
      <c r="AA3" s="5" t="inlineStr">
        <is>
          <t>Excl</t>
        </is>
      </c>
      <c r="AB3" s="5" t="inlineStr">
        <is>
          <t>S.Tax</t>
        </is>
      </c>
      <c r="AC3" s="5" t="inlineStr">
        <is>
          <t>Vat</t>
        </is>
      </c>
      <c r="AE3" s="5" t="inlineStr">
        <is>
          <t>Excl</t>
        </is>
      </c>
      <c r="AF3" s="5" t="inlineStr">
        <is>
          <t>S.Tax</t>
        </is>
      </c>
      <c r="AG3" s="5" t="inlineStr">
        <is>
          <t>Vat</t>
        </is>
      </c>
    </row>
    <row r="4">
      <c r="A4" s="6" t="inlineStr">
        <is>
          <t>Aug 2026</t>
        </is>
      </c>
      <c r="B4" s="6" t="inlineStr">
        <is>
          <t>DEMO-HC-100245</t>
        </is>
      </c>
      <c r="C4" s="6" t="inlineStr">
        <is>
          <t>12-03-2026</t>
        </is>
      </c>
      <c r="D4" s="6" t="inlineStr">
        <is>
          <t>8482</t>
        </is>
      </c>
      <c r="E4" s="6" t="inlineStr">
        <is>
          <t>8482.1000</t>
        </is>
      </c>
      <c r="F4" s="6" t="inlineStr">
        <is>
          <t>Industrial Bearing 6204</t>
        </is>
      </c>
      <c r="G4" s="6" t="inlineStr">
        <is>
          <t>Bearings</t>
        </is>
      </c>
      <c r="H4" s="7" t="n">
        <v>1250</v>
      </c>
      <c r="I4" s="6" t="inlineStr">
        <is>
          <t>Pcs</t>
        </is>
      </c>
      <c r="J4" s="8" t="n">
        <v>480</v>
      </c>
      <c r="K4" s="7" t="n">
        <v>600000</v>
      </c>
      <c r="L4" s="17" t="n">
        <v>0.18</v>
      </c>
      <c r="M4" s="7" t="n">
        <v>108000</v>
      </c>
      <c r="N4" s="8" t="n">
        <v>0</v>
      </c>
      <c r="O4" s="7" t="n">
        <v>0</v>
      </c>
      <c r="P4" s="17" t="n">
        <v>0.18</v>
      </c>
      <c r="Q4" s="7" t="n">
        <v>0</v>
      </c>
      <c r="R4" s="10" t="n">
        <v>480</v>
      </c>
      <c r="S4" s="11" t="n">
        <v>600000</v>
      </c>
      <c r="T4" s="18" t="n">
        <v>0.18</v>
      </c>
      <c r="U4" s="7" t="n">
        <v>108000</v>
      </c>
    </row>
    <row r="5">
      <c r="A5" s="6" t="inlineStr">
        <is>
          <t>Aug 2026</t>
        </is>
      </c>
      <c r="B5" s="6" t="inlineStr">
        <is>
          <t>DEMO-HC-100245</t>
        </is>
      </c>
      <c r="C5" s="6" t="inlineStr">
        <is>
          <t>12-03-2026</t>
        </is>
      </c>
      <c r="D5" s="6" t="inlineStr">
        <is>
          <t>8482</t>
        </is>
      </c>
      <c r="E5" s="6" t="inlineStr">
        <is>
          <t>8482.1000</t>
        </is>
      </c>
      <c r="F5" s="6" t="inlineStr">
        <is>
          <t>Industrial Bearing 6205</t>
        </is>
      </c>
      <c r="G5" s="6" t="inlineStr">
        <is>
          <t>Bearings</t>
        </is>
      </c>
      <c r="H5" s="7" t="n">
        <v>1480</v>
      </c>
      <c r="I5" s="6" t="inlineStr">
        <is>
          <t>Pcs</t>
        </is>
      </c>
      <c r="J5" s="8" t="n">
        <v>320</v>
      </c>
      <c r="K5" s="7" t="n">
        <v>473600</v>
      </c>
      <c r="L5" s="17" t="n">
        <v>0.18</v>
      </c>
      <c r="M5" s="7" t="n">
        <v>85248</v>
      </c>
      <c r="N5" s="8" t="n">
        <v>0</v>
      </c>
      <c r="O5" s="7" t="n">
        <v>0</v>
      </c>
      <c r="P5" s="17" t="n">
        <v>0.18</v>
      </c>
      <c r="Q5" s="7" t="n">
        <v>0</v>
      </c>
      <c r="R5" s="10" t="n">
        <v>320</v>
      </c>
      <c r="S5" s="11" t="n">
        <v>473600</v>
      </c>
      <c r="T5" s="18" t="n">
        <v>0.18</v>
      </c>
      <c r="U5" s="7" t="n">
        <v>85248</v>
      </c>
    </row>
    <row r="6">
      <c r="A6" s="6" t="inlineStr">
        <is>
          <t>Aug 2026</t>
        </is>
      </c>
      <c r="B6" s="6" t="inlineStr">
        <is>
          <t>DEMO-HC-100245</t>
        </is>
      </c>
      <c r="C6" s="6" t="inlineStr">
        <is>
          <t>12-03-2026</t>
        </is>
      </c>
      <c r="D6" s="6" t="inlineStr">
        <is>
          <t>4009</t>
        </is>
      </c>
      <c r="E6" s="6" t="inlineStr">
        <is>
          <t>4009.2200</t>
        </is>
      </c>
      <c r="F6" s="6" t="inlineStr">
        <is>
          <t>Hydraulic Hose 1/2 inch</t>
        </is>
      </c>
      <c r="G6" s="6" t="inlineStr">
        <is>
          <t>Hydraulics</t>
        </is>
      </c>
      <c r="H6" s="7" t="n">
        <v>615.5</v>
      </c>
      <c r="I6" s="6" t="inlineStr">
        <is>
          <t>Mtr</t>
        </is>
      </c>
      <c r="J6" s="8" t="n">
        <v>900</v>
      </c>
      <c r="K6" s="7" t="n">
        <v>553950</v>
      </c>
      <c r="L6" s="17" t="n">
        <v>0.18</v>
      </c>
      <c r="M6" s="7" t="n">
        <v>99711</v>
      </c>
      <c r="N6" s="8" t="n">
        <v>0</v>
      </c>
      <c r="O6" s="7" t="n">
        <v>0</v>
      </c>
      <c r="P6" s="17" t="n">
        <v>0.18</v>
      </c>
      <c r="Q6" s="7" t="n">
        <v>0</v>
      </c>
      <c r="R6" s="10" t="n">
        <v>900</v>
      </c>
      <c r="S6" s="11" t="n">
        <v>553950</v>
      </c>
      <c r="T6" s="18" t="n">
        <v>0.18</v>
      </c>
      <c r="U6" s="7" t="n">
        <v>99711</v>
      </c>
    </row>
    <row r="7">
      <c r="A7" s="6" t="inlineStr">
        <is>
          <t>Aug 2026</t>
        </is>
      </c>
      <c r="B7" s="6" t="inlineStr">
        <is>
          <t>DEMO-HC-100311</t>
        </is>
      </c>
      <c r="C7" s="6" t="inlineStr">
        <is>
          <t>04-05-2026</t>
        </is>
      </c>
      <c r="D7" s="6" t="inlineStr">
        <is>
          <t>7318</t>
        </is>
      </c>
      <c r="E7" s="6" t="inlineStr">
        <is>
          <t>7318.1510</t>
        </is>
      </c>
      <c r="F7" s="6" t="inlineStr">
        <is>
          <t>Stainless Steel Bolt M10</t>
        </is>
      </c>
      <c r="G7" s="6" t="inlineStr">
        <is>
          <t>Fasteners</t>
        </is>
      </c>
      <c r="H7" s="7" t="n">
        <v>372.25</v>
      </c>
      <c r="I7" s="6" t="inlineStr">
        <is>
          <t>Kg</t>
        </is>
      </c>
      <c r="J7" s="8" t="n">
        <v>1250</v>
      </c>
      <c r="K7" s="7" t="n">
        <v>465312.5</v>
      </c>
      <c r="L7" s="17" t="n">
        <v>0.18</v>
      </c>
      <c r="M7" s="7" t="n">
        <v>83756.25</v>
      </c>
      <c r="N7" s="8" t="n">
        <v>0</v>
      </c>
      <c r="O7" s="7" t="n">
        <v>0</v>
      </c>
      <c r="P7" s="17" t="n">
        <v>0.18</v>
      </c>
      <c r="Q7" s="7" t="n">
        <v>0</v>
      </c>
      <c r="R7" s="10" t="n">
        <v>1250</v>
      </c>
      <c r="S7" s="11" t="n">
        <v>465312.5</v>
      </c>
      <c r="T7" s="18" t="n">
        <v>0.18</v>
      </c>
      <c r="U7" s="7" t="n">
        <v>83756.25</v>
      </c>
    </row>
    <row r="8">
      <c r="A8" s="6" t="inlineStr">
        <is>
          <t>Aug 2026</t>
        </is>
      </c>
      <c r="B8" s="6" t="inlineStr">
        <is>
          <t>DEMO-HC-100311</t>
        </is>
      </c>
      <c r="C8" s="6" t="inlineStr">
        <is>
          <t>04-05-2026</t>
        </is>
      </c>
      <c r="D8" s="6" t="inlineStr">
        <is>
          <t>8544</t>
        </is>
      </c>
      <c r="E8" s="6" t="inlineStr">
        <is>
          <t>8544.4990</t>
        </is>
      </c>
      <c r="F8" s="6" t="inlineStr">
        <is>
          <t>Electrical Cable 2.5mm</t>
        </is>
      </c>
      <c r="G8" s="6" t="inlineStr">
        <is>
          <t>Cables</t>
        </is>
      </c>
      <c r="H8" s="7" t="n">
        <v>148.75</v>
      </c>
      <c r="I8" s="6" t="inlineStr">
        <is>
          <t>Mtr</t>
        </is>
      </c>
      <c r="J8" s="8" t="n">
        <v>4000</v>
      </c>
      <c r="K8" s="7" t="n">
        <v>595000</v>
      </c>
      <c r="L8" s="17" t="n">
        <v>0.18</v>
      </c>
      <c r="M8" s="7" t="n">
        <v>107100</v>
      </c>
      <c r="N8" s="8" t="n">
        <v>0</v>
      </c>
      <c r="O8" s="7" t="n">
        <v>0</v>
      </c>
      <c r="P8" s="17" t="n">
        <v>0.18</v>
      </c>
      <c r="Q8" s="7" t="n">
        <v>0</v>
      </c>
      <c r="R8" s="10" t="n">
        <v>4000</v>
      </c>
      <c r="S8" s="11" t="n">
        <v>595000</v>
      </c>
      <c r="T8" s="18" t="n">
        <v>0.18</v>
      </c>
      <c r="U8" s="7" t="n">
        <v>107100</v>
      </c>
    </row>
    <row r="9">
      <c r="A9" s="6" t="inlineStr">
        <is>
          <t>Aug 2026</t>
        </is>
      </c>
      <c r="B9" s="6" t="inlineStr">
        <is>
          <t>DEMO-HC-100311</t>
        </is>
      </c>
      <c r="C9" s="6" t="inlineStr">
        <is>
          <t>04-05-2026</t>
        </is>
      </c>
      <c r="D9" s="6" t="inlineStr">
        <is>
          <t>6116</t>
        </is>
      </c>
      <c r="E9" s="6" t="inlineStr">
        <is>
          <t>6116.1000</t>
        </is>
      </c>
      <c r="F9" s="6" t="inlineStr">
        <is>
          <t>Safety Gloves Coated</t>
        </is>
      </c>
      <c r="G9" s="6" t="inlineStr">
        <is>
          <t>Safety</t>
        </is>
      </c>
      <c r="H9" s="7" t="n">
        <v>265</v>
      </c>
      <c r="I9" s="6" t="inlineStr">
        <is>
          <t>Pcs</t>
        </is>
      </c>
      <c r="J9" s="8" t="n">
        <v>1500</v>
      </c>
      <c r="K9" s="7" t="n">
        <v>397500</v>
      </c>
      <c r="L9" s="17" t="n">
        <v>0.18</v>
      </c>
      <c r="M9" s="7" t="n">
        <v>71550</v>
      </c>
      <c r="N9" s="8" t="n">
        <v>0</v>
      </c>
      <c r="O9" s="7" t="n">
        <v>0</v>
      </c>
      <c r="P9" s="17" t="n">
        <v>0.18</v>
      </c>
      <c r="Q9" s="7" t="n">
        <v>0</v>
      </c>
      <c r="R9" s="10" t="n">
        <v>1500</v>
      </c>
      <c r="S9" s="11" t="n">
        <v>397500</v>
      </c>
      <c r="T9" s="18" t="n">
        <v>0.18</v>
      </c>
      <c r="U9" s="7" t="n">
        <v>71550</v>
      </c>
    </row>
    <row r="10">
      <c r="A10" s="6" t="inlineStr">
        <is>
          <t>Aug 2026</t>
        </is>
      </c>
      <c r="B10" s="6" t="inlineStr">
        <is>
          <t>DEMO-HC-100388</t>
        </is>
      </c>
      <c r="C10" s="6" t="inlineStr">
        <is>
          <t>21-06-2026</t>
        </is>
      </c>
      <c r="D10" s="6" t="inlineStr">
        <is>
          <t>2710</t>
        </is>
      </c>
      <c r="E10" s="6" t="inlineStr">
        <is>
          <t>2710.1951</t>
        </is>
      </c>
      <c r="F10" s="6" t="inlineStr">
        <is>
          <t>Machine Oil 20W 5L</t>
        </is>
      </c>
      <c r="G10" s="6" t="inlineStr">
        <is>
          <t>Lubricants</t>
        </is>
      </c>
      <c r="H10" s="7" t="n">
        <v>985</v>
      </c>
      <c r="I10" s="6" t="inlineStr">
        <is>
          <t>Ltr</t>
        </is>
      </c>
      <c r="J10" s="8" t="n">
        <v>600</v>
      </c>
      <c r="K10" s="7" t="n">
        <v>591000</v>
      </c>
      <c r="L10" s="17" t="n">
        <v>0.25</v>
      </c>
      <c r="M10" s="7" t="n">
        <v>147750</v>
      </c>
      <c r="N10" s="8" t="n">
        <v>0</v>
      </c>
      <c r="O10" s="7" t="n">
        <v>0</v>
      </c>
      <c r="P10" s="17" t="n">
        <v>0.25</v>
      </c>
      <c r="Q10" s="7" t="n">
        <v>0</v>
      </c>
      <c r="R10" s="10" t="n">
        <v>600</v>
      </c>
      <c r="S10" s="11" t="n">
        <v>591000</v>
      </c>
      <c r="T10" s="18" t="n">
        <v>0.25</v>
      </c>
      <c r="U10" s="7" t="n">
        <v>147750</v>
      </c>
    </row>
    <row r="11">
      <c r="A11" s="6" t="inlineStr">
        <is>
          <t>Aug 2026</t>
        </is>
      </c>
      <c r="B11" s="6" t="inlineStr">
        <is>
          <t>DEMO-HC-100388</t>
        </is>
      </c>
      <c r="C11" s="6" t="inlineStr">
        <is>
          <t>21-06-2026</t>
        </is>
      </c>
      <c r="D11" s="6" t="inlineStr">
        <is>
          <t>4016</t>
        </is>
      </c>
      <c r="E11" s="6" t="inlineStr">
        <is>
          <t>4016.9390</t>
        </is>
      </c>
      <c r="F11" s="6" t="inlineStr">
        <is>
          <t>Rubber O-Ring Seal 25mm</t>
        </is>
      </c>
      <c r="G11" s="6" t="inlineStr">
        <is>
          <t>Seals</t>
        </is>
      </c>
      <c r="H11" s="7" t="n">
        <v>42.8</v>
      </c>
      <c r="I11" s="6" t="inlineStr">
        <is>
          <t>Pcs</t>
        </is>
      </c>
      <c r="J11" s="8" t="n">
        <v>2500</v>
      </c>
      <c r="K11" s="7" t="n">
        <v>107000</v>
      </c>
      <c r="L11" s="17" t="n">
        <v>0.18</v>
      </c>
      <c r="M11" s="7" t="n">
        <v>19260</v>
      </c>
      <c r="N11" s="8" t="n">
        <v>0</v>
      </c>
      <c r="O11" s="7" t="n">
        <v>0</v>
      </c>
      <c r="P11" s="17" t="n">
        <v>0.18</v>
      </c>
      <c r="Q11" s="7" t="n">
        <v>0</v>
      </c>
      <c r="R11" s="10" t="n">
        <v>2500</v>
      </c>
      <c r="S11" s="11" t="n">
        <v>107000</v>
      </c>
      <c r="T11" s="18" t="n">
        <v>0.18</v>
      </c>
      <c r="U11" s="7" t="n">
        <v>19260</v>
      </c>
    </row>
    <row r="13">
      <c r="I13" s="13" t="inlineStr">
        <is>
          <t>TOTAL</t>
        </is>
      </c>
      <c r="J13" s="14">
        <f>SUM(J4:J11)</f>
        <v/>
      </c>
      <c r="K13" s="15">
        <f>SUM(K4:K11)</f>
        <v/>
      </c>
      <c r="M13" s="15">
        <f>SUM(M4:M11)</f>
        <v/>
      </c>
      <c r="R13" s="14">
        <f>SUM(R4:R11)</f>
        <v/>
      </c>
      <c r="S13" s="15">
        <f>SUM(S4:S11)</f>
        <v/>
      </c>
      <c r="U13" s="15">
        <f>SUM(U4:U11)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9:B40"/>
  <sheetViews>
    <sheetView workbookViewId="0">
      <selection activeCell="A1" sqref="A1"/>
    </sheetView>
  </sheetViews>
  <sheetFormatPr baseColWidth="8" defaultRowHeight="15"/>
  <cols>
    <col width="4" customWidth="1" min="1" max="1"/>
    <col width="104" customWidth="1" min="2" max="2"/>
  </cols>
  <sheetData>
    <row r="9">
      <c r="B9" s="16" t="inlineStr">
        <is>
          <t>Opening stock sheet — how to fill this in</t>
        </is>
      </c>
    </row>
    <row r="10">
      <c r="B10" t="inlineStr">
        <is>
          <t>Put the business name in cell F1 of the data sheet.</t>
        </is>
      </c>
    </row>
    <row r="11"/>
    <row r="12">
      <c r="B12" t="inlineStr">
        <is>
          <t>One row per customs declaration (GD). Do not merge lots — the system adds them up</t>
        </is>
      </c>
    </row>
    <row r="13">
      <c r="B13" t="inlineStr">
        <is>
          <t>and keeps each declaration, so you can trace any figure back to the GD behind it.</t>
        </is>
      </c>
    </row>
    <row r="14"/>
    <row r="15">
      <c r="B15" s="16" t="inlineStr">
        <is>
          <t>The three columns that decide your stock</t>
        </is>
      </c>
    </row>
    <row r="16">
      <c r="B16" t="inlineStr">
        <is>
          <t>R  Bal Qty   — the CLOSING quantity you are holding (not Opening).</t>
        </is>
      </c>
    </row>
    <row r="17">
      <c r="B17" t="inlineStr">
        <is>
          <t>S  Bal Exl   — what that quantity is worth, EXCLUDING sales tax.</t>
        </is>
      </c>
    </row>
    <row r="18">
      <c r="B18" t="inlineStr">
        <is>
          <t>T  Rate      — the sales-tax rate on it. Type 0.18, or format the cell as 18%.</t>
        </is>
      </c>
    </row>
    <row r="19">
      <c r="B19" t="inlineStr">
        <is>
          <t>These three are shaded. Everything else is either kept as history or ignored.</t>
        </is>
      </c>
    </row>
    <row r="20"/>
    <row r="21">
      <c r="B21" s="16" t="inlineStr">
        <is>
          <t>Five rules</t>
        </is>
      </c>
    </row>
    <row r="22">
      <c r="B22" t="inlineStr">
        <is>
          <t>1. Every row needs an 8-digit HS code from the CURRENT Pakistan tariff. A retired</t>
        </is>
      </c>
    </row>
    <row r="23">
      <c r="B23" t="inlineStr">
        <is>
          <t xml:space="preserve">   code is refused — e.g. 9405.9010 and 8513.6019 no longer exist; use 9405.9110</t>
        </is>
      </c>
    </row>
    <row r="24">
      <c r="B24" t="inlineStr">
        <is>
          <t xml:space="preserve">   and 8513.1090.</t>
        </is>
      </c>
    </row>
    <row r="25">
      <c r="B25" t="inlineStr">
        <is>
          <t>2. Type rates as NUMBERS. A cell typed over as the text "18%" is not a number.</t>
        </is>
      </c>
    </row>
    <row r="26">
      <c r="B26" t="inlineStr">
        <is>
          <t>3. One row per GD. Keep the GD Number and GD Date — they are stored.</t>
        </is>
      </c>
    </row>
    <row r="27">
      <c r="B27" t="inlineStr">
        <is>
          <t>4. Balance columns must be the closing position, not the opening one.</t>
        </is>
      </c>
    </row>
    <row r="28">
      <c r="B28" t="inlineStr">
        <is>
          <t>5. No blank rows inside the data. A totals row at the bottom is fine.</t>
        </is>
      </c>
    </row>
    <row r="29"/>
    <row r="30">
      <c r="B30" s="16" t="inlineStr">
        <is>
          <t>Column order</t>
        </is>
      </c>
    </row>
    <row r="31">
      <c r="B31" t="inlineStr">
        <is>
          <t>Keep this order if you can. If your sheet runs Items / Sub cat / 4 Digit Hs Code /</t>
        </is>
      </c>
    </row>
    <row r="32">
      <c r="B32" t="inlineStr">
        <is>
          <t>8 Digit Hs Code instead, that is read correctly too — those columns are found by</t>
        </is>
      </c>
    </row>
    <row r="33">
      <c r="B33" t="inlineStr">
        <is>
          <t>their heading. Columns J onward must stay where they are: Qty, Rate and S.Tax each</t>
        </is>
      </c>
    </row>
    <row r="34">
      <c r="B34" t="inlineStr">
        <is>
          <t>appear three times and only their position says which block they belong to.</t>
        </is>
      </c>
    </row>
    <row r="35"/>
    <row r="36">
      <c r="B36" s="16" t="inlineStr">
        <is>
          <t>What happens to the rest</t>
        </is>
      </c>
    </row>
    <row r="37">
      <c r="B37" t="inlineStr">
        <is>
          <t>Products sharing one HS code become ONE stock line and their quantities add up.</t>
        </is>
      </c>
    </row>
    <row r="38">
      <c r="B38" t="inlineStr">
        <is>
          <t>Every original row is still stored against it with its own name, GD, landed price</t>
        </is>
      </c>
    </row>
    <row r="39">
      <c r="B39" t="inlineStr">
        <is>
          <t>and opening/consumed figures. Sub Category, the S.Tax amounts and the cost-of-goods-</t>
        </is>
      </c>
    </row>
    <row r="40">
      <c r="B40" t="inlineStr">
        <is>
          <t>sold block are not imported — they are your working.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2026-09-08T12:38:53Z</dcterms:created>
  <dcterms:modified xmlns:dcterms="http://purl.org/dc/terms/" xmlns:xsi="http://www.w3.org/2001/XMLSchema-instance" xsi:type="dcterms:W3CDTF">2026-09-14T15:13:12Z</dcterms:modified>
</cp:coreProperties>
</file>